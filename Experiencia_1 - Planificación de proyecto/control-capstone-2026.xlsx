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MP-Alumno\Downloads\"/>
    </mc:Choice>
  </mc:AlternateContent>
  <xr:revisionPtr revIDLastSave="0" documentId="8_{8094F6EE-AE54-430F-AA6E-D5873E34A3F0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Resumen y Configuración" sheetId="1" r:id="rId1"/>
    <sheet name="Lista de Entregables" sheetId="2" r:id="rId2"/>
    <sheet name="Elementos Técnic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  <c r="G15" i="1" s="1"/>
  <c r="G11" i="1"/>
  <c r="G8" i="1"/>
  <c r="G7" i="1"/>
  <c r="G10" i="1" s="1"/>
  <c r="G6" i="1"/>
  <c r="G9" i="1" s="1"/>
  <c r="G5" i="1"/>
</calcChain>
</file>

<file path=xl/sharedStrings.xml><?xml version="1.0" encoding="utf-8"?>
<sst xmlns="http://schemas.openxmlformats.org/spreadsheetml/2006/main" count="235" uniqueCount="164">
  <si>
    <t>SISTEMA DE CONTROL DE ENTREGABLES Y ARTEFACTOS - CAPSTONE 2026</t>
  </si>
  <si>
    <t>Herramienta de Control y Seguimiento Basada en el Instructivo Oficial CAPSTONE 2026 (Duoc UC)</t>
  </si>
  <si>
    <t>INFORMACIÓN DEL PROYECTO</t>
  </si>
  <si>
    <t>RESUMEN EJECUTIVO DE PROGRESO</t>
  </si>
  <si>
    <t>Nombre del Proyecto</t>
  </si>
  <si>
    <t>Ej. Sistema de Reserva de Horas Médicas</t>
  </si>
  <si>
    <t>Metodología Activa</t>
  </si>
  <si>
    <t>Nombre del Equipo/Grupo</t>
  </si>
  <si>
    <t>Ej. Grupo N° 3</t>
  </si>
  <si>
    <t>Total Entregables Requeridos</t>
  </si>
  <si>
    <t>Sede / Sección</t>
  </si>
  <si>
    <t>Ej. Antonio Varas / SECCIÓN 001D</t>
  </si>
  <si>
    <t>Entregables Completados</t>
  </si>
  <si>
    <t>Metodología de Desarrollo</t>
  </si>
  <si>
    <t>Ágil</t>
  </si>
  <si>
    <t>Entregables En Proceso</t>
  </si>
  <si>
    <t>Integrante 1 (Nombre y Rol)</t>
  </si>
  <si>
    <t>Estudiante 1 - Desarrollador Frontend</t>
  </si>
  <si>
    <t>Entregables Pendientes</t>
  </si>
  <si>
    <t>Integrante 2 (Nombre y Rol)</t>
  </si>
  <si>
    <t>Estudiante 2 - Desarrollador Backend</t>
  </si>
  <si>
    <t>Porcentaje de Avance General</t>
  </si>
  <si>
    <t>Integrante 3 (Nombre y Rol)</t>
  </si>
  <si>
    <t>Estudiante 3 - Administrador de Base de Datos / QA</t>
  </si>
  <si>
    <t>Total Elementos Técnicos Oblig.</t>
  </si>
  <si>
    <t>Elementos Técnicos Implementados</t>
  </si>
  <si>
    <t>Elementos Técnicos En Desarrollo</t>
  </si>
  <si>
    <t>CÓDIGO DE COLORES PARA EL EQUIPO</t>
  </si>
  <si>
    <t>Celda de Entrada (Inputs del Equipo)</t>
  </si>
  <si>
    <t>Celda Calculada Automáticamente</t>
  </si>
  <si>
    <t>Cumplimiento Requisitos Técnicos</t>
  </si>
  <si>
    <t>Fase</t>
  </si>
  <si>
    <t>Metodología</t>
  </si>
  <si>
    <t>Entregable / Artefacto</t>
  </si>
  <si>
    <t>Descripción y Propósito (Instructivo)</t>
  </si>
  <si>
    <t>Extensión Sugerida</t>
  </si>
  <si>
    <t>Responsable</t>
  </si>
  <si>
    <t>Fecha Límite</t>
  </si>
  <si>
    <t>Estado de Avance</t>
  </si>
  <si>
    <t>Enlace de Evidencia (Git)</t>
  </si>
  <si>
    <t>Comentarios / Notas</t>
  </si>
  <si>
    <t>Fase 1 (20%)</t>
  </si>
  <si>
    <t>Común</t>
  </si>
  <si>
    <t>Documento de Inicio de Proyecto</t>
  </si>
  <si>
    <t>Describe el problema u oportunidad, objetivos del proyecto, usuarios/stakeholders, alcance del MVP, restricciones y justificación de la solución.</t>
  </si>
  <si>
    <t>1-2 páginas</t>
  </si>
  <si>
    <t>Semana 3</t>
  </si>
  <si>
    <t>No Iniciado</t>
  </si>
  <si>
    <t>Cascada</t>
  </si>
  <si>
    <t>Documento de Requerimientos (SRS)</t>
  </si>
  <si>
    <t>Detalle completo del problema, objetivos generales y específicos, requisitos funcionales y no funcionales, y diagramas de casos de uso del sistema.</t>
  </si>
  <si>
    <t>10-15 páginas</t>
  </si>
  <si>
    <t>Semana 4</t>
  </si>
  <si>
    <t>Fase 2 (50%)</t>
  </si>
  <si>
    <t>Documento de Diseño</t>
  </si>
  <si>
    <t>Modelado de la arquitectura de software, modelo de datos físico, diagramas UML mínimos (secuencia, componentes, clases) y diseño de despliegue con Docker.</t>
  </si>
  <si>
    <t>Semana 10</t>
  </si>
  <si>
    <t>Plan de Pruebas + Evidencias</t>
  </si>
  <si>
    <t>Definición y ejecución de casos de prueba (unitarias, integración, seguridad y rendimiento) y registro de resultados obtenidos.</t>
  </si>
  <si>
    <t>5-8 páginas</t>
  </si>
  <si>
    <t>Semana 15</t>
  </si>
  <si>
    <t>Manual Técnico y Despliegue</t>
  </si>
  <si>
    <t>Instrucciones detalladas de instalación, variables de entorno, configuración de docker-compose y procesos para levantar y ejecutar el sistema.</t>
  </si>
  <si>
    <t>3-5 páginas</t>
  </si>
  <si>
    <t>Product Vision</t>
  </si>
  <si>
    <t>Define el problema, público objetivo, propuesta de valor central de la solución y los objetivos estratégicos iniciales.</t>
  </si>
  <si>
    <t>2 páginas</t>
  </si>
  <si>
    <t>Product Backlog Priorizado</t>
  </si>
  <si>
    <t>Listado jerarquizado de historias de usuario con criterios de aceptación iniciales y estimación de esfuerzo/puntos de historia.</t>
  </si>
  <si>
    <t>Formato digital/Git</t>
  </si>
  <si>
    <t>Sprint Backlog</t>
  </si>
  <si>
    <t>Planificación de tareas específicas, asignación de responsabilidades y seguimiento del desarrollo incremental para cada Sprint del semestre.</t>
  </si>
  <si>
    <t>Formato Tablero</t>
  </si>
  <si>
    <t>En cada Sprint</t>
  </si>
  <si>
    <t>Definition of Done (DoD)</t>
  </si>
  <si>
    <t>Acuerdos explícitos y técnicos que debe cumplir cada incremento de software para considerarse finalizado con calidad.</t>
  </si>
  <si>
    <t>1 página</t>
  </si>
  <si>
    <t>Semana 5</t>
  </si>
  <si>
    <t>Modelado de la arquitectura de software, modelo de datos físico, diagramas UML mínimos (secuencia, componentes, clases) y diseño de despliegue con Docker (común).</t>
  </si>
  <si>
    <t>Evidencia de Retrospectivas</t>
  </si>
  <si>
    <t>Registro de las sesiones de retrospectiva de cada Sprint, detallando qué funcionó, qué falló y las acciones de mejora acordadas por el equipo.</t>
  </si>
  <si>
    <t>2-3 páginas</t>
  </si>
  <si>
    <t>Casos de prueba de calidad (unitarias, integración, rendimiento, seguridad) ejecutados y versionados de manera iterativa por cada Sprint.</t>
  </si>
  <si>
    <t>Instrucciones detalladas de instalación, variables de entorno, configuración de docker-compose y procesos para levantar y ejecutar el sistema (común).</t>
  </si>
  <si>
    <t>N° Req</t>
  </si>
  <si>
    <t>Elemento Técnico Requerido</t>
  </si>
  <si>
    <t>Especificación Técnica Oficial (Instructivo CAPSTONE)</t>
  </si>
  <si>
    <t>Asignado a (Responsable)</t>
  </si>
  <si>
    <t>Estado de Implementación</t>
  </si>
  <si>
    <t>Enlace de Verificación / Repositorio</t>
  </si>
  <si>
    <t>Notas de Cumplimiento</t>
  </si>
  <si>
    <t>1.1</t>
  </si>
  <si>
    <t>Arquitectura: Diagrama de arquitectura</t>
  </si>
  <si>
    <t>Diagrama lógico/físico de la solución estructurada, mostrando clientes, API Gateways, microservicios u otros componentes.</t>
  </si>
  <si>
    <t>Pendiente</t>
  </si>
  <si>
    <t>1.2</t>
  </si>
  <si>
    <t>Arquitectura: Definición de componentes</t>
  </si>
  <si>
    <t>Identificación y descripción de los servidores de aplicaciones, bases de datos y servicios utilizados.</t>
  </si>
  <si>
    <t>1.3</t>
  </si>
  <si>
    <t>Arquitectura: Comunicación entre servicios</t>
  </si>
  <si>
    <t>Especificación de los protocolos de comunicación (HTTP, REST, gRPC, colas de mensajería) entre las partes de la solución.</t>
  </si>
  <si>
    <t>2.1</t>
  </si>
  <si>
    <t>Modelo de Datos: ER Clásico / Documental</t>
  </si>
  <si>
    <t>Modelo Relacional (Entidad-Relación clásico) si se utiliza SQL, o Modelo Documental (diseño de colecciones/esquemas) si se utiliza NoSQL (MongoDB).</t>
  </si>
  <si>
    <t>2.2</t>
  </si>
  <si>
    <t>Modelo de Datos: Diccionario de datos</t>
  </si>
  <si>
    <t>Definición detallada de tipos de datos, restricciones, claves primarias, foráneas e índices de la base de datos.</t>
  </si>
  <si>
    <t>3.1</t>
  </si>
  <si>
    <t>Diagramas UML: Casos de Uso</t>
  </si>
  <si>
    <t>Diagramación formal de los actores del sistema y las interacciones/funcionalidades requeridas para los procesos clave.</t>
  </si>
  <si>
    <t>3.2</t>
  </si>
  <si>
    <t>Diagramas UML: Secuencia de funcionalidad principal</t>
  </si>
  <si>
    <t>Secuenciamiento lógico del flujo de datos y llamadas a métodos para la transacción o característica más importante de la solución.</t>
  </si>
  <si>
    <t>3.3</t>
  </si>
  <si>
    <t>Diagramas UML: Componentes</t>
  </si>
  <si>
    <t>Diagrama que muestra la organización e interdependencia de los módulos de software en tiempo de ejecución.</t>
  </si>
  <si>
    <t>3.4</t>
  </si>
  <si>
    <t>Diagramas UML: Clases (si corresponde)</t>
  </si>
  <si>
    <t>Modelo de clases orientado a objetos con sus propiedades, métodos y relaciones de herencia o asociación.</t>
  </si>
  <si>
    <t>4.1</t>
  </si>
  <si>
    <t>Requisitos No Funcionales: Seguridad</t>
  </si>
  <si>
    <t>Estrategias de control de acceso, encriptación de datos sensibles y cumplimiento de estándares de seguridad OWASP.</t>
  </si>
  <si>
    <t>4.2</t>
  </si>
  <si>
    <t>Requisitos No Funcionales: Rendimiento</t>
  </si>
  <si>
    <t>Parámetros de tiempos de respuesta del backend, optimización de consultas y optimización de recursos de frontend.</t>
  </si>
  <si>
    <t>4.3</t>
  </si>
  <si>
    <t>Requisitos No Funcionales: Escalabilidad y Disponibilidad</t>
  </si>
  <si>
    <t>Configuración para permitir el crecimiento del sistema en carga y estrategias para asegurar la alta disponibilidad del servicio.</t>
  </si>
  <si>
    <t>4.4</t>
  </si>
  <si>
    <t>Requisitos No Funcionales: Portabilidad</t>
  </si>
  <si>
    <t>Garantizar el correcto funcionamiento homogéneo del sistema entre ambientes a través de la contenerización.</t>
  </si>
  <si>
    <t>5.1</t>
  </si>
  <si>
    <t>Docker: Dockerfile(s)</t>
  </si>
  <si>
    <t>Creación y optimización de Dockerfiles multi-etapa (multi-stage) para compilar y ejecutar de forma segura cada microservicio o módulo.</t>
  </si>
  <si>
    <t>5.2</t>
  </si>
  <si>
    <t>Docker: docker-compose</t>
  </si>
  <si>
    <t>Archivo docker-compose.yml completo que orqueste la base de datos, backend, frontend y servicios externos para levantarlos en un comando.</t>
  </si>
  <si>
    <t>5.3</t>
  </si>
  <si>
    <t>Docker: Variables de Entorno (.env)</t>
  </si>
  <si>
    <t>Archivo .env de ejemplo (.env.example) para configurar puertos, credenciales de base de datos y llaves de APIs de manera segura.</t>
  </si>
  <si>
    <t>5.4</t>
  </si>
  <si>
    <t>Docker: Guía de despliegue en README.md</t>
  </si>
  <si>
    <t>Instrucciones paso a paso en el archivo principal del repositorio para clonar, configurar variables de entorno y levantar el sistema con Docker.</t>
  </si>
  <si>
    <t>6.1</t>
  </si>
  <si>
    <t>Pruebas: Unitarias</t>
  </si>
  <si>
    <t>Desarrollo y ejecución de pruebas unitarias sobre la lógica de negocio, buscando una cobertura de código adecuada.</t>
  </si>
  <si>
    <t>6.2</t>
  </si>
  <si>
    <t>Pruebas: Integración</t>
  </si>
  <si>
    <t>Validación del correcto funcionamiento de las llamadas de API y la conexión real con la base de datos y servicios externos.</t>
  </si>
  <si>
    <t>6.3</t>
  </si>
  <si>
    <t>Pruebas: Rendimiento/Carga</t>
  </si>
  <si>
    <t>Pruebas básicas de estrés de endpoints de alta concurrencia para validar que el sistema no falle bajo carga moderada.</t>
  </si>
  <si>
    <t>6.4</t>
  </si>
  <si>
    <t>Pruebas: Seguridad</t>
  </si>
  <si>
    <t>Escaneo automático de dependencias en busca de vulnerabilidades conocidas y validación de sanitización de inputs.</t>
  </si>
  <si>
    <t>7.1</t>
  </si>
  <si>
    <t>Innovación: Problema Resuelto</t>
  </si>
  <si>
    <t>Fundamentación detallada y contextualizada del problema que resuelve la solución, justificando su necesidad en el mercado.</t>
  </si>
  <si>
    <t>7.2</t>
  </si>
  <si>
    <t>Innovación: Diferenciación técnica/funcional</t>
  </si>
  <si>
    <t>Argumentación clara de qué hace diferente y superior a la solución planteada en comparación con lo existente.</t>
  </si>
  <si>
    <t>7.3</t>
  </si>
  <si>
    <t>Innovación: Propuesta de valor y utilidad</t>
  </si>
  <si>
    <t>Demostración de cómo el proyecto agrega valor tangible, automatiza u optimiza un proceso de negocio específico de la industria.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</si>
</sst>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0"/>
      <color rgb="FF595959"/>
      <name val="Calibri"/>
    </font>
    <font>
      <b/>
      <sz val="11"/>
      <color rgb="FF385723"/>
      <name val="Calibri"/>
    </font>
    <font>
      <b/>
      <sz val="11"/>
      <color rgb="FF7F6000"/>
      <name val="Calibri"/>
    </font>
    <font>
      <b/>
      <sz val="11"/>
      <color rgb="FF1F497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305496"/>
        <bgColor rgb="FF305496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2F5496"/>
      </top>
      <bottom style="medium">
        <color rgb="FF2F549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0" fontId="4" fillId="4" borderId="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5" fillId="3" borderId="0" xfId="0" applyFont="1" applyFill="1"/>
    <xf numFmtId="0" fontId="5" fillId="4" borderId="0" xfId="0" applyFont="1" applyFill="1"/>
    <xf numFmtId="0" fontId="3" fillId="5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0" fillId="0" borderId="0" xfId="0" applyAlignment="1"/>
    <xf numFmtId="0" fontId="5" fillId="3" borderId="1" xfId="0" applyFont="1" applyFill="1" applyBorder="1" applyAlignment="1"/>
    <xf numFmtId="0" fontId="0" fillId="0" borderId="1" xfId="0" applyBorder="1" applyAlignment="1"/>
    <xf numFmtId="0" fontId="4" fillId="0" borderId="1" xfId="0" applyFont="1" applyBorder="1" applyAlignment="1"/>
    <xf numFmtId="0" fontId="0" fillId="0" borderId="3" xfId="0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/>
  </sheetViews>
  <sheetFormatPr defaultColWidth="9.140625" defaultRowHeight="15"/>
  <cols>
    <col min="1" max="2" width="30" customWidth="1"/>
    <col min="3" max="3" width="15" customWidth="1"/>
    <col min="4" max="4" width="5" customWidth="1"/>
    <col min="5" max="5" width="35" customWidth="1"/>
    <col min="6" max="6" width="10" customWidth="1"/>
    <col min="7" max="7" width="15" customWidth="1"/>
  </cols>
  <sheetData>
    <row r="1" spans="1:7" ht="24.95" customHeight="1">
      <c r="A1" s="1" t="s">
        <v>0</v>
      </c>
    </row>
    <row r="2" spans="1:7" ht="18" customHeight="1">
      <c r="A2" s="2" t="s">
        <v>1</v>
      </c>
    </row>
    <row r="4" spans="1:7" ht="24" customHeight="1">
      <c r="A4" s="17" t="s">
        <v>2</v>
      </c>
      <c r="B4" s="20"/>
      <c r="C4" s="20"/>
      <c r="E4" s="17" t="s">
        <v>3</v>
      </c>
      <c r="F4" s="20"/>
      <c r="G4" s="20"/>
    </row>
    <row r="5" spans="1:7" ht="20.100000000000001" customHeight="1">
      <c r="A5" s="3" t="s">
        <v>4</v>
      </c>
      <c r="B5" s="21" t="s">
        <v>5</v>
      </c>
      <c r="C5" s="22"/>
      <c r="E5" s="23" t="s">
        <v>6</v>
      </c>
      <c r="F5" s="22"/>
      <c r="G5" s="4" t="str">
        <f>'Resumen y Configuración'!B8</f>
        <v>Ágil</v>
      </c>
    </row>
    <row r="6" spans="1:7" ht="20.100000000000001" customHeight="1">
      <c r="A6" s="3" t="s">
        <v>7</v>
      </c>
      <c r="B6" s="21" t="s">
        <v>8</v>
      </c>
      <c r="C6" s="22"/>
      <c r="E6" s="23" t="s">
        <v>9</v>
      </c>
      <c r="F6" s="22"/>
      <c r="G6" s="5">
        <f>COUNTIF('Lista de Entregables'!B5:B17, B8) + COUNTIF('Lista de Entregables'!B5:B17, "Común")</f>
        <v>9</v>
      </c>
    </row>
    <row r="7" spans="1:7" ht="20.100000000000001" customHeight="1">
      <c r="A7" s="3" t="s">
        <v>10</v>
      </c>
      <c r="B7" s="21" t="s">
        <v>11</v>
      </c>
      <c r="C7" s="22"/>
      <c r="E7" s="23" t="s">
        <v>12</v>
      </c>
      <c r="F7" s="22"/>
      <c r="G7" s="5">
        <f>COUNTIFS('Lista de Entregables'!$B$5:$B$17, $B$8, 'Lista de Entregables'!$H$5:$H$17, "Completado") + COUNTIFS('Lista de Entregables'!$B$5:$B$17, "Común", 'Lista de Entregables'!$H$5:$H$17, "Completado")</f>
        <v>0</v>
      </c>
    </row>
    <row r="8" spans="1:7" ht="20.100000000000001" customHeight="1">
      <c r="A8" s="3" t="s">
        <v>13</v>
      </c>
      <c r="B8" s="18" t="s">
        <v>14</v>
      </c>
      <c r="C8" s="22"/>
      <c r="E8" s="23" t="s">
        <v>15</v>
      </c>
      <c r="F8" s="22"/>
      <c r="G8" s="5">
        <f>COUNTIFS('Lista de Entregables'!$B$5:$B$17, $B$8, 'Lista de Entregables'!$H$5:$H$17, "En Proceso") + COUNTIFS('Lista de Entregables'!$B$5:$B$17, "Común", 'Lista de Entregables'!$H$5:$H$17, "En Proceso")</f>
        <v>0</v>
      </c>
    </row>
    <row r="9" spans="1:7" ht="20.100000000000001" customHeight="1">
      <c r="A9" s="3" t="s">
        <v>16</v>
      </c>
      <c r="B9" s="21" t="s">
        <v>17</v>
      </c>
      <c r="C9" s="22"/>
      <c r="E9" s="23" t="s">
        <v>18</v>
      </c>
      <c r="F9" s="22"/>
      <c r="G9" s="5">
        <f>G6-G7-G8</f>
        <v>9</v>
      </c>
    </row>
    <row r="10" spans="1:7" ht="20.100000000000001" customHeight="1">
      <c r="A10" s="3" t="s">
        <v>19</v>
      </c>
      <c r="B10" s="21" t="s">
        <v>20</v>
      </c>
      <c r="C10" s="22"/>
      <c r="E10" s="23" t="s">
        <v>21</v>
      </c>
      <c r="F10" s="22"/>
      <c r="G10" s="6">
        <f>IFERROR(G7/G6, 0)</f>
        <v>0</v>
      </c>
    </row>
    <row r="11" spans="1:7" ht="20.100000000000001" customHeight="1">
      <c r="A11" s="3" t="s">
        <v>22</v>
      </c>
      <c r="B11" s="21" t="s">
        <v>23</v>
      </c>
      <c r="C11" s="22"/>
      <c r="E11" s="23" t="s">
        <v>24</v>
      </c>
      <c r="F11" s="22"/>
      <c r="G11" s="5">
        <f>COUNTA('Elementos Técnicos'!A5:A28)</f>
        <v>24</v>
      </c>
    </row>
    <row r="12" spans="1:7" ht="20.100000000000001" customHeight="1">
      <c r="E12" s="23" t="s">
        <v>25</v>
      </c>
      <c r="F12" s="22"/>
      <c r="G12" s="5">
        <f>COUNTIF('Elementos Técnicos'!E5:E28, "Implementado")</f>
        <v>0</v>
      </c>
    </row>
    <row r="13" spans="1:7" ht="20.100000000000001" customHeight="1">
      <c r="E13" s="23" t="s">
        <v>26</v>
      </c>
      <c r="F13" s="22"/>
      <c r="G13" s="5">
        <f>COUNTIF('Elementos Técnicos'!E5:E28, "En Desarrollo")</f>
        <v>0</v>
      </c>
    </row>
    <row r="14" spans="1:7" ht="20.100000000000001" customHeight="1">
      <c r="A14" s="19" t="s">
        <v>27</v>
      </c>
      <c r="B14" s="24"/>
      <c r="C14" s="24"/>
      <c r="D14" s="24"/>
      <c r="E14" s="24"/>
      <c r="F14" s="24"/>
      <c r="G14" s="25"/>
    </row>
    <row r="15" spans="1:7" ht="20.100000000000001" customHeight="1">
      <c r="A15" s="7" t="s">
        <v>28</v>
      </c>
      <c r="D15" s="8" t="s">
        <v>29</v>
      </c>
      <c r="E15" s="23" t="s">
        <v>30</v>
      </c>
      <c r="F15" s="22"/>
      <c r="G15" s="6">
        <f>IFERROR(G12/G11, 0)</f>
        <v>0</v>
      </c>
    </row>
  </sheetData>
  <mergeCells count="20">
    <mergeCell ref="E8:F8"/>
    <mergeCell ref="B11:C11"/>
    <mergeCell ref="E10:F10"/>
    <mergeCell ref="E13:F13"/>
    <mergeCell ref="A4:C4"/>
    <mergeCell ref="E9:F9"/>
    <mergeCell ref="B8:C8"/>
    <mergeCell ref="E6:F6"/>
    <mergeCell ref="E15:F15"/>
    <mergeCell ref="B10:C10"/>
    <mergeCell ref="E11:F11"/>
    <mergeCell ref="B9:C9"/>
    <mergeCell ref="B6:C6"/>
    <mergeCell ref="E7:F7"/>
    <mergeCell ref="B5:C5"/>
    <mergeCell ref="E4:G4"/>
    <mergeCell ref="E12:F12"/>
    <mergeCell ref="A14:G14"/>
    <mergeCell ref="B7:C7"/>
    <mergeCell ref="E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J17"/>
  <sheetViews>
    <sheetView workbookViewId="0"/>
  </sheetViews>
  <sheetFormatPr defaultColWidth="9.140625" defaultRowHeight="15"/>
  <cols>
    <col min="1" max="2" width="15" customWidth="1"/>
    <col min="3" max="3" width="30" customWidth="1"/>
    <col min="4" max="4" width="45" customWidth="1"/>
    <col min="5" max="5" width="20" customWidth="1"/>
    <col min="6" max="6" width="18" customWidth="1"/>
    <col min="7" max="7" width="15" customWidth="1"/>
    <col min="8" max="8" width="18" customWidth="1"/>
    <col min="9" max="9" width="25" customWidth="1"/>
    <col min="10" max="10" width="35" customWidth="1"/>
  </cols>
  <sheetData>
    <row r="4" spans="1:10" ht="30" customHeight="1">
      <c r="A4" s="9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  <c r="H4" s="9" t="s">
        <v>38</v>
      </c>
      <c r="I4" s="9" t="s">
        <v>39</v>
      </c>
      <c r="J4" s="9" t="s">
        <v>40</v>
      </c>
    </row>
    <row r="5" spans="1:10" ht="42" customHeight="1">
      <c r="A5" s="10" t="s">
        <v>41</v>
      </c>
      <c r="B5" s="11" t="s">
        <v>42</v>
      </c>
      <c r="C5" s="12" t="s">
        <v>43</v>
      </c>
      <c r="D5" s="12" t="s">
        <v>44</v>
      </c>
      <c r="E5" s="10" t="s">
        <v>45</v>
      </c>
      <c r="F5" s="13"/>
      <c r="G5" s="14" t="s">
        <v>46</v>
      </c>
      <c r="H5" s="14" t="s">
        <v>47</v>
      </c>
      <c r="I5" s="13"/>
      <c r="J5" s="13"/>
    </row>
    <row r="6" spans="1:10" ht="42" customHeight="1">
      <c r="A6" s="10" t="s">
        <v>41</v>
      </c>
      <c r="B6" s="15" t="s">
        <v>48</v>
      </c>
      <c r="C6" s="12" t="s">
        <v>49</v>
      </c>
      <c r="D6" s="12" t="s">
        <v>50</v>
      </c>
      <c r="E6" s="10" t="s">
        <v>51</v>
      </c>
      <c r="F6" s="13"/>
      <c r="G6" s="14" t="s">
        <v>52</v>
      </c>
      <c r="H6" s="14" t="s">
        <v>47</v>
      </c>
      <c r="I6" s="13"/>
      <c r="J6" s="13"/>
    </row>
    <row r="7" spans="1:10" ht="42" customHeight="1">
      <c r="A7" s="10" t="s">
        <v>53</v>
      </c>
      <c r="B7" s="15" t="s">
        <v>48</v>
      </c>
      <c r="C7" s="12" t="s">
        <v>54</v>
      </c>
      <c r="D7" s="12" t="s">
        <v>55</v>
      </c>
      <c r="E7" s="10" t="s">
        <v>51</v>
      </c>
      <c r="F7" s="13"/>
      <c r="G7" s="14" t="s">
        <v>56</v>
      </c>
      <c r="H7" s="14" t="s">
        <v>47</v>
      </c>
      <c r="I7" s="13"/>
      <c r="J7" s="13"/>
    </row>
    <row r="8" spans="1:10" ht="42" customHeight="1">
      <c r="A8" s="10" t="s">
        <v>53</v>
      </c>
      <c r="B8" s="15" t="s">
        <v>48</v>
      </c>
      <c r="C8" s="12" t="s">
        <v>57</v>
      </c>
      <c r="D8" s="12" t="s">
        <v>58</v>
      </c>
      <c r="E8" s="10" t="s">
        <v>59</v>
      </c>
      <c r="F8" s="13"/>
      <c r="G8" s="14" t="s">
        <v>60</v>
      </c>
      <c r="H8" s="14" t="s">
        <v>47</v>
      </c>
      <c r="I8" s="13"/>
      <c r="J8" s="13"/>
    </row>
    <row r="9" spans="1:10" ht="42" customHeight="1">
      <c r="A9" s="10" t="s">
        <v>53</v>
      </c>
      <c r="B9" s="15" t="s">
        <v>48</v>
      </c>
      <c r="C9" s="12" t="s">
        <v>61</v>
      </c>
      <c r="D9" s="12" t="s">
        <v>62</v>
      </c>
      <c r="E9" s="10" t="s">
        <v>63</v>
      </c>
      <c r="F9" s="13"/>
      <c r="G9" s="14" t="s">
        <v>60</v>
      </c>
      <c r="H9" s="14" t="s">
        <v>47</v>
      </c>
      <c r="I9" s="13"/>
      <c r="J9" s="13"/>
    </row>
    <row r="10" spans="1:10" ht="42" customHeight="1">
      <c r="A10" s="10" t="s">
        <v>41</v>
      </c>
      <c r="B10" s="16" t="s">
        <v>14</v>
      </c>
      <c r="C10" s="12" t="s">
        <v>64</v>
      </c>
      <c r="D10" s="12" t="s">
        <v>65</v>
      </c>
      <c r="E10" s="10" t="s">
        <v>66</v>
      </c>
      <c r="F10" s="13"/>
      <c r="G10" s="14" t="s">
        <v>46</v>
      </c>
      <c r="H10" s="14" t="s">
        <v>47</v>
      </c>
      <c r="I10" s="13"/>
      <c r="J10" s="13"/>
    </row>
    <row r="11" spans="1:10" ht="42" customHeight="1">
      <c r="A11" s="10" t="s">
        <v>41</v>
      </c>
      <c r="B11" s="16" t="s">
        <v>14</v>
      </c>
      <c r="C11" s="12" t="s">
        <v>67</v>
      </c>
      <c r="D11" s="12" t="s">
        <v>68</v>
      </c>
      <c r="E11" s="10" t="s">
        <v>69</v>
      </c>
      <c r="F11" s="13"/>
      <c r="G11" s="14" t="s">
        <v>52</v>
      </c>
      <c r="H11" s="14" t="s">
        <v>47</v>
      </c>
      <c r="I11" s="13"/>
      <c r="J11" s="13"/>
    </row>
    <row r="12" spans="1:10" ht="42" customHeight="1">
      <c r="A12" s="10" t="s">
        <v>53</v>
      </c>
      <c r="B12" s="16" t="s">
        <v>14</v>
      </c>
      <c r="C12" s="12" t="s">
        <v>70</v>
      </c>
      <c r="D12" s="12" t="s">
        <v>71</v>
      </c>
      <c r="E12" s="10" t="s">
        <v>72</v>
      </c>
      <c r="F12" s="13"/>
      <c r="G12" s="14" t="s">
        <v>73</v>
      </c>
      <c r="H12" s="14" t="s">
        <v>47</v>
      </c>
      <c r="I12" s="13"/>
      <c r="J12" s="13"/>
    </row>
    <row r="13" spans="1:10" ht="42" customHeight="1">
      <c r="A13" s="10" t="s">
        <v>53</v>
      </c>
      <c r="B13" s="16" t="s">
        <v>14</v>
      </c>
      <c r="C13" s="12" t="s">
        <v>74</v>
      </c>
      <c r="D13" s="12" t="s">
        <v>75</v>
      </c>
      <c r="E13" s="10" t="s">
        <v>76</v>
      </c>
      <c r="F13" s="13"/>
      <c r="G13" s="14" t="s">
        <v>77</v>
      </c>
      <c r="H13" s="14" t="s">
        <v>47</v>
      </c>
      <c r="I13" s="13"/>
      <c r="J13" s="13"/>
    </row>
    <row r="14" spans="1:10" ht="42" customHeight="1">
      <c r="A14" s="10" t="s">
        <v>53</v>
      </c>
      <c r="B14" s="16" t="s">
        <v>14</v>
      </c>
      <c r="C14" s="12" t="s">
        <v>54</v>
      </c>
      <c r="D14" s="12" t="s">
        <v>78</v>
      </c>
      <c r="E14" s="10" t="s">
        <v>51</v>
      </c>
      <c r="F14" s="13"/>
      <c r="G14" s="14" t="s">
        <v>56</v>
      </c>
      <c r="H14" s="14" t="s">
        <v>47</v>
      </c>
      <c r="I14" s="13"/>
      <c r="J14" s="13"/>
    </row>
    <row r="15" spans="1:10" ht="42" customHeight="1">
      <c r="A15" s="10" t="s">
        <v>53</v>
      </c>
      <c r="B15" s="16" t="s">
        <v>14</v>
      </c>
      <c r="C15" s="12" t="s">
        <v>79</v>
      </c>
      <c r="D15" s="12" t="s">
        <v>80</v>
      </c>
      <c r="E15" s="10" t="s">
        <v>81</v>
      </c>
      <c r="F15" s="13"/>
      <c r="G15" s="14" t="s">
        <v>73</v>
      </c>
      <c r="H15" s="14" t="s">
        <v>47</v>
      </c>
      <c r="I15" s="13"/>
      <c r="J15" s="13"/>
    </row>
    <row r="16" spans="1:10" ht="42" customHeight="1">
      <c r="A16" s="10" t="s">
        <v>53</v>
      </c>
      <c r="B16" s="16" t="s">
        <v>14</v>
      </c>
      <c r="C16" s="12" t="s">
        <v>57</v>
      </c>
      <c r="D16" s="12" t="s">
        <v>82</v>
      </c>
      <c r="E16" s="10" t="s">
        <v>59</v>
      </c>
      <c r="F16" s="13"/>
      <c r="G16" s="14" t="s">
        <v>60</v>
      </c>
      <c r="H16" s="14" t="s">
        <v>47</v>
      </c>
      <c r="I16" s="13"/>
      <c r="J16" s="13"/>
    </row>
    <row r="17" spans="1:10" ht="42" customHeight="1">
      <c r="A17" s="10" t="s">
        <v>53</v>
      </c>
      <c r="B17" s="16" t="s">
        <v>14</v>
      </c>
      <c r="C17" s="12" t="s">
        <v>61</v>
      </c>
      <c r="D17" s="12" t="s">
        <v>83</v>
      </c>
      <c r="E17" s="10" t="s">
        <v>63</v>
      </c>
      <c r="F17" s="13"/>
      <c r="G17" s="14" t="s">
        <v>60</v>
      </c>
      <c r="H17" s="14" t="s">
        <v>47</v>
      </c>
      <c r="I17" s="13"/>
      <c r="J17" s="13"/>
    </row>
  </sheetData>
  <dataValidations count="1">
    <dataValidation type="list" allowBlank="1" sqref="H5:H17" xr:uid="{00000000-0002-0000-0100-000000000000}">
      <formula1>"No Iniciado,En Proceso,Completado,Bloqueado"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G28"/>
  <sheetViews>
    <sheetView tabSelected="1" workbookViewId="0"/>
  </sheetViews>
  <sheetFormatPr defaultColWidth="9.140625" defaultRowHeight="15"/>
  <cols>
    <col min="1" max="1" width="10" customWidth="1"/>
    <col min="2" max="2" width="30" customWidth="1"/>
    <col min="3" max="3" width="50" customWidth="1"/>
    <col min="4" max="4" width="20" customWidth="1"/>
    <col min="5" max="5" width="22" customWidth="1"/>
    <col min="6" max="6" width="25" customWidth="1"/>
    <col min="7" max="7" width="35" customWidth="1"/>
  </cols>
  <sheetData>
    <row r="4" spans="1:7" ht="30" customHeight="1">
      <c r="A4" s="9" t="s">
        <v>84</v>
      </c>
      <c r="B4" s="9" t="s">
        <v>85</v>
      </c>
      <c r="C4" s="9" t="s">
        <v>86</v>
      </c>
      <c r="D4" s="9" t="s">
        <v>87</v>
      </c>
      <c r="E4" s="9" t="s">
        <v>88</v>
      </c>
      <c r="F4" s="9" t="s">
        <v>89</v>
      </c>
      <c r="G4" s="9" t="s">
        <v>90</v>
      </c>
    </row>
    <row r="5" spans="1:7" ht="39.950000000000003" customHeight="1">
      <c r="A5" s="10" t="s">
        <v>91</v>
      </c>
      <c r="B5" s="12" t="s">
        <v>92</v>
      </c>
      <c r="C5" s="12" t="s">
        <v>93</v>
      </c>
      <c r="D5" s="13"/>
      <c r="E5" s="14" t="s">
        <v>94</v>
      </c>
      <c r="F5" s="13"/>
      <c r="G5" s="13"/>
    </row>
    <row r="6" spans="1:7" ht="39.950000000000003" customHeight="1">
      <c r="A6" s="10" t="s">
        <v>95</v>
      </c>
      <c r="B6" s="12" t="s">
        <v>96</v>
      </c>
      <c r="C6" s="12" t="s">
        <v>97</v>
      </c>
      <c r="D6" s="13"/>
      <c r="E6" s="14" t="s">
        <v>94</v>
      </c>
      <c r="F6" s="13"/>
      <c r="G6" s="13"/>
    </row>
    <row r="7" spans="1:7" ht="39.950000000000003" customHeight="1">
      <c r="A7" s="10" t="s">
        <v>98</v>
      </c>
      <c r="B7" s="12" t="s">
        <v>99</v>
      </c>
      <c r="C7" s="12" t="s">
        <v>100</v>
      </c>
      <c r="D7" s="13"/>
      <c r="E7" s="14" t="s">
        <v>94</v>
      </c>
      <c r="F7" s="13"/>
      <c r="G7" s="13"/>
    </row>
    <row r="8" spans="1:7" ht="39.950000000000003" customHeight="1">
      <c r="A8" s="10" t="s">
        <v>101</v>
      </c>
      <c r="B8" s="12" t="s">
        <v>102</v>
      </c>
      <c r="C8" s="12" t="s">
        <v>103</v>
      </c>
      <c r="D8" s="13"/>
      <c r="E8" s="14" t="s">
        <v>94</v>
      </c>
      <c r="F8" s="13"/>
      <c r="G8" s="13"/>
    </row>
    <row r="9" spans="1:7" ht="39.950000000000003" customHeight="1">
      <c r="A9" s="10" t="s">
        <v>104</v>
      </c>
      <c r="B9" s="12" t="s">
        <v>105</v>
      </c>
      <c r="C9" s="12" t="s">
        <v>106</v>
      </c>
      <c r="D9" s="13"/>
      <c r="E9" s="14" t="s">
        <v>94</v>
      </c>
      <c r="F9" s="13"/>
      <c r="G9" s="13"/>
    </row>
    <row r="10" spans="1:7" ht="39.950000000000003" customHeight="1">
      <c r="A10" s="10" t="s">
        <v>107</v>
      </c>
      <c r="B10" s="12" t="s">
        <v>108</v>
      </c>
      <c r="C10" s="12" t="s">
        <v>109</v>
      </c>
      <c r="D10" s="13"/>
      <c r="E10" s="14" t="s">
        <v>94</v>
      </c>
      <c r="F10" s="13"/>
      <c r="G10" s="13"/>
    </row>
    <row r="11" spans="1:7" ht="39.950000000000003" customHeight="1">
      <c r="A11" s="10" t="s">
        <v>110</v>
      </c>
      <c r="B11" s="12" t="s">
        <v>111</v>
      </c>
      <c r="C11" s="12" t="s">
        <v>112</v>
      </c>
      <c r="D11" s="13"/>
      <c r="E11" s="14" t="s">
        <v>94</v>
      </c>
      <c r="F11" s="13"/>
      <c r="G11" s="13"/>
    </row>
    <row r="12" spans="1:7" ht="39.950000000000003" customHeight="1">
      <c r="A12" s="10" t="s">
        <v>113</v>
      </c>
      <c r="B12" s="12" t="s">
        <v>114</v>
      </c>
      <c r="C12" s="12" t="s">
        <v>115</v>
      </c>
      <c r="D12" s="13"/>
      <c r="E12" s="14" t="s">
        <v>94</v>
      </c>
      <c r="F12" s="13"/>
      <c r="G12" s="13"/>
    </row>
    <row r="13" spans="1:7" ht="39.950000000000003" customHeight="1">
      <c r="A13" s="10" t="s">
        <v>116</v>
      </c>
      <c r="B13" s="12" t="s">
        <v>117</v>
      </c>
      <c r="C13" s="12" t="s">
        <v>118</v>
      </c>
      <c r="D13" s="13"/>
      <c r="E13" s="14" t="s">
        <v>94</v>
      </c>
      <c r="F13" s="13"/>
      <c r="G13" s="13"/>
    </row>
    <row r="14" spans="1:7" ht="39.950000000000003" customHeight="1">
      <c r="A14" s="10" t="s">
        <v>119</v>
      </c>
      <c r="B14" s="12" t="s">
        <v>120</v>
      </c>
      <c r="C14" s="12" t="s">
        <v>121</v>
      </c>
      <c r="D14" s="13"/>
      <c r="E14" s="14" t="s">
        <v>94</v>
      </c>
      <c r="F14" s="13"/>
      <c r="G14" s="13"/>
    </row>
    <row r="15" spans="1:7" ht="39.950000000000003" customHeight="1">
      <c r="A15" s="10" t="s">
        <v>122</v>
      </c>
      <c r="B15" s="12" t="s">
        <v>123</v>
      </c>
      <c r="C15" s="12" t="s">
        <v>124</v>
      </c>
      <c r="D15" s="13"/>
      <c r="E15" s="14" t="s">
        <v>94</v>
      </c>
      <c r="F15" s="13"/>
      <c r="G15" s="13"/>
    </row>
    <row r="16" spans="1:7" ht="39.950000000000003" customHeight="1">
      <c r="A16" s="10" t="s">
        <v>125</v>
      </c>
      <c r="B16" s="12" t="s">
        <v>126</v>
      </c>
      <c r="C16" s="12" t="s">
        <v>127</v>
      </c>
      <c r="D16" s="13"/>
      <c r="E16" s="14" t="s">
        <v>94</v>
      </c>
      <c r="F16" s="13"/>
      <c r="G16" s="13"/>
    </row>
    <row r="17" spans="1:7" ht="39.950000000000003" customHeight="1">
      <c r="A17" s="10" t="s">
        <v>128</v>
      </c>
      <c r="B17" s="12" t="s">
        <v>129</v>
      </c>
      <c r="C17" s="12" t="s">
        <v>130</v>
      </c>
      <c r="D17" s="13"/>
      <c r="E17" s="14" t="s">
        <v>94</v>
      </c>
      <c r="F17" s="13"/>
      <c r="G17" s="13"/>
    </row>
    <row r="18" spans="1:7" ht="39.950000000000003" customHeight="1">
      <c r="A18" s="10" t="s">
        <v>131</v>
      </c>
      <c r="B18" s="12" t="s">
        <v>132</v>
      </c>
      <c r="C18" s="12" t="s">
        <v>133</v>
      </c>
      <c r="D18" s="13"/>
      <c r="E18" s="14" t="s">
        <v>94</v>
      </c>
      <c r="F18" s="13"/>
      <c r="G18" s="13"/>
    </row>
    <row r="19" spans="1:7" ht="39.950000000000003" customHeight="1">
      <c r="A19" s="10" t="s">
        <v>134</v>
      </c>
      <c r="B19" s="12" t="s">
        <v>135</v>
      </c>
      <c r="C19" s="12" t="s">
        <v>136</v>
      </c>
      <c r="D19" s="13"/>
      <c r="E19" s="14" t="s">
        <v>94</v>
      </c>
      <c r="F19" s="13"/>
      <c r="G19" s="13"/>
    </row>
    <row r="20" spans="1:7" ht="39.950000000000003" customHeight="1">
      <c r="A20" s="10" t="s">
        <v>137</v>
      </c>
      <c r="B20" s="12" t="s">
        <v>138</v>
      </c>
      <c r="C20" s="12" t="s">
        <v>139</v>
      </c>
      <c r="D20" s="13"/>
      <c r="E20" s="14" t="s">
        <v>94</v>
      </c>
      <c r="F20" s="13"/>
      <c r="G20" s="13"/>
    </row>
    <row r="21" spans="1:7" ht="39.950000000000003" customHeight="1">
      <c r="A21" s="10" t="s">
        <v>140</v>
      </c>
      <c r="B21" s="12" t="s">
        <v>141</v>
      </c>
      <c r="C21" s="12" t="s">
        <v>142</v>
      </c>
      <c r="D21" s="13"/>
      <c r="E21" s="14" t="s">
        <v>94</v>
      </c>
      <c r="F21" s="13"/>
      <c r="G21" s="13"/>
    </row>
    <row r="22" spans="1:7" ht="39.950000000000003" customHeight="1">
      <c r="A22" s="10" t="s">
        <v>143</v>
      </c>
      <c r="B22" s="12" t="s">
        <v>144</v>
      </c>
      <c r="C22" s="12" t="s">
        <v>145</v>
      </c>
      <c r="D22" s="13"/>
      <c r="E22" s="14" t="s">
        <v>94</v>
      </c>
      <c r="F22" s="13"/>
      <c r="G22" s="13"/>
    </row>
    <row r="23" spans="1:7" ht="39.950000000000003" customHeight="1">
      <c r="A23" s="10" t="s">
        <v>146</v>
      </c>
      <c r="B23" s="12" t="s">
        <v>147</v>
      </c>
      <c r="C23" s="12" t="s">
        <v>148</v>
      </c>
      <c r="D23" s="13"/>
      <c r="E23" s="14" t="s">
        <v>94</v>
      </c>
      <c r="F23" s="13"/>
      <c r="G23" s="13"/>
    </row>
    <row r="24" spans="1:7" ht="39.950000000000003" customHeight="1">
      <c r="A24" s="10" t="s">
        <v>149</v>
      </c>
      <c r="B24" s="12" t="s">
        <v>150</v>
      </c>
      <c r="C24" s="12" t="s">
        <v>151</v>
      </c>
      <c r="D24" s="13"/>
      <c r="E24" s="14" t="s">
        <v>94</v>
      </c>
      <c r="F24" s="13"/>
      <c r="G24" s="13"/>
    </row>
    <row r="25" spans="1:7" ht="39.950000000000003" customHeight="1">
      <c r="A25" s="10" t="s">
        <v>152</v>
      </c>
      <c r="B25" s="12" t="s">
        <v>153</v>
      </c>
      <c r="C25" s="12" t="s">
        <v>154</v>
      </c>
      <c r="D25" s="13"/>
      <c r="E25" s="14" t="s">
        <v>94</v>
      </c>
      <c r="F25" s="13"/>
      <c r="G25" s="13"/>
    </row>
    <row r="26" spans="1:7" ht="39.950000000000003" customHeight="1">
      <c r="A26" s="10" t="s">
        <v>155</v>
      </c>
      <c r="B26" s="12" t="s">
        <v>156</v>
      </c>
      <c r="C26" s="12" t="s">
        <v>157</v>
      </c>
      <c r="D26" s="13"/>
      <c r="E26" s="14" t="s">
        <v>94</v>
      </c>
      <c r="F26" s="13"/>
      <c r="G26" s="13"/>
    </row>
    <row r="27" spans="1:7" ht="39.950000000000003" customHeight="1">
      <c r="A27" s="10" t="s">
        <v>158</v>
      </c>
      <c r="B27" s="12" t="s">
        <v>159</v>
      </c>
      <c r="C27" s="12" t="s">
        <v>160</v>
      </c>
      <c r="D27" s="13"/>
      <c r="E27" s="14" t="s">
        <v>94</v>
      </c>
      <c r="F27" s="13"/>
      <c r="G27" s="13"/>
    </row>
    <row r="28" spans="1:7" ht="39.950000000000003" customHeight="1">
      <c r="A28" s="10" t="s">
        <v>161</v>
      </c>
      <c r="B28" s="12" t="s">
        <v>162</v>
      </c>
      <c r="C28" s="12" t="s">
        <v>163</v>
      </c>
      <c r="D28" s="13"/>
      <c r="E28" s="14" t="s">
        <v>94</v>
      </c>
      <c r="F28" s="13"/>
      <c r="G28" s="13"/>
    </row>
  </sheetData>
  <dataValidations count="1">
    <dataValidation type="list" allowBlank="1" sqref="E5:E28" xr:uid="{00000000-0002-0000-0200-000000000000}">
      <formula1>"Pendiente,En Desarrollo,Implementado"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Juanandres Hernandez Aliaga</cp:lastModifiedBy>
  <cp:revision/>
  <dcterms:created xsi:type="dcterms:W3CDTF">2026-08-10T14:35:45Z</dcterms:created>
  <dcterms:modified xsi:type="dcterms:W3CDTF">2026-08-10T19:50:01Z</dcterms:modified>
  <cp:category/>
  <cp:contentStatus/>
</cp:coreProperties>
</file>